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dreashofer/Documents/BSD/"/>
    </mc:Choice>
  </mc:AlternateContent>
  <xr:revisionPtr revIDLastSave="0" documentId="8_{B5F2CACE-A901-FA46-970B-D2189256F768}" xr6:coauthVersionLast="47" xr6:coauthVersionMax="47" xr10:uidLastSave="{00000000-0000-0000-0000-000000000000}"/>
  <bookViews>
    <workbookView xWindow="0" yWindow="0" windowWidth="33600" windowHeight="21000" xr2:uid="{A40DBBB1-54DB-CC44-80C4-2DE97A683E16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8" i="1" l="1"/>
  <c r="F18" i="1"/>
  <c r="E19" i="1"/>
  <c r="E20" i="1"/>
  <c r="E21" i="1"/>
  <c r="B14" i="1"/>
  <c r="B11" i="1"/>
  <c r="B13" i="1"/>
  <c r="B15" i="1"/>
  <c r="E7" i="1"/>
  <c r="F7" i="1"/>
  <c r="D7" i="1"/>
  <c r="C6" i="1"/>
  <c r="G6" i="1"/>
  <c r="B4" i="1"/>
  <c r="B3" i="1"/>
</calcChain>
</file>

<file path=xl/sharedStrings.xml><?xml version="1.0" encoding="utf-8"?>
<sst xmlns="http://schemas.openxmlformats.org/spreadsheetml/2006/main" count="32" uniqueCount="32">
  <si>
    <t>Summe EK</t>
  </si>
  <si>
    <t>Summe GK</t>
  </si>
  <si>
    <t>Bezugsgrößen</t>
  </si>
  <si>
    <t>Zuschlagssätze</t>
  </si>
  <si>
    <t>Kostenarten</t>
  </si>
  <si>
    <t>Summe</t>
  </si>
  <si>
    <t>Kostenstellen</t>
  </si>
  <si>
    <t>Material</t>
  </si>
  <si>
    <t>Fertigung 1</t>
  </si>
  <si>
    <t>Fertigung 2</t>
  </si>
  <si>
    <t>Fertigung 3</t>
  </si>
  <si>
    <t>V&amp;V</t>
  </si>
  <si>
    <t>Verrechnungssätze</t>
  </si>
  <si>
    <t>Materialkosten</t>
  </si>
  <si>
    <t>Materialeinzelkosten</t>
  </si>
  <si>
    <t>Materialgemeinkosten</t>
  </si>
  <si>
    <t>Fertigungskosten</t>
  </si>
  <si>
    <t>Fertigungseinzel- &amp; -gemeinkosten (Verrechnungssätze 1, 2 und 3)</t>
  </si>
  <si>
    <t>Sonderkosten der Fertigung</t>
  </si>
  <si>
    <t>Herstellkosten (HSTK)</t>
  </si>
  <si>
    <t>Verwaltungs- &amp; Vertriebsgemeinkosten (12,71 % v. HSTK)</t>
  </si>
  <si>
    <t>Sonderkosten des Vertriebs</t>
  </si>
  <si>
    <t>Selbstkosten II (SK II)</t>
  </si>
  <si>
    <t>Gewinn</t>
  </si>
  <si>
    <t>Nettoerlös (Nettobarpreis)</t>
  </si>
  <si>
    <t>Skonto (3%)</t>
  </si>
  <si>
    <t>Netto(ziel)preis</t>
  </si>
  <si>
    <t>Rabatt (5%)</t>
  </si>
  <si>
    <t>Brutto(ziel)preis exkl. Umsatzsteuer</t>
  </si>
  <si>
    <t>Umsatzsteuer (20%)</t>
  </si>
  <si>
    <t>Brutto(ziel)preis inkl. Umsatzsteuer (Verkaufspreis)</t>
  </si>
  <si>
    <t>Gewinn: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</si>
</sst>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2" fontId="0" fillId="0" borderId="1" xfId="0" applyNumberFormat="1" applyBorder="1"/>
    <xf numFmtId="0" fontId="0" fillId="0" borderId="0" xfId="0" applyAlignment="1">
      <alignment wrapText="1"/>
    </xf>
    <xf numFmtId="2" fontId="0" fillId="0" borderId="0" xfId="0" applyNumberFormat="1"/>
    <xf numFmtId="10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F62B44-2273-0C4B-BCED-7E632E2E6A5C}">
  <dimension ref="A1:G28"/>
  <sheetViews>
    <sheetView tabSelected="1" topLeftCell="A12" zoomScale="174" zoomScaleNormal="174" workbookViewId="0">
      <selection activeCell="G18" sqref="G18"/>
    </sheetView>
  </sheetViews>
  <sheetFormatPr baseColWidth="10" defaultRowHeight="16" x14ac:dyDescent="0.2"/>
  <cols>
    <col min="1" max="1" width="24.1640625" customWidth="1"/>
  </cols>
  <sheetData>
    <row r="1" spans="1:7" x14ac:dyDescent="0.2">
      <c r="A1" s="1" t="s">
        <v>4</v>
      </c>
      <c r="B1" s="1" t="s">
        <v>5</v>
      </c>
      <c r="C1" s="1" t="s">
        <v>6</v>
      </c>
      <c r="D1" s="1"/>
      <c r="E1" s="1"/>
      <c r="F1" s="1"/>
      <c r="G1" s="1"/>
    </row>
    <row r="2" spans="1:7" x14ac:dyDescent="0.2">
      <c r="A2" s="1"/>
      <c r="B2" s="1"/>
      <c r="C2" s="2" t="s">
        <v>7</v>
      </c>
      <c r="D2" s="2" t="s">
        <v>8</v>
      </c>
      <c r="E2" s="2" t="s">
        <v>9</v>
      </c>
      <c r="F2" s="2" t="s">
        <v>10</v>
      </c>
      <c r="G2" s="2" t="s">
        <v>11</v>
      </c>
    </row>
    <row r="3" spans="1:7" x14ac:dyDescent="0.2">
      <c r="A3" s="2" t="s">
        <v>0</v>
      </c>
      <c r="B3" s="2">
        <f>SUM(C3:G3)</f>
        <v>89500</v>
      </c>
      <c r="C3" s="2">
        <v>70000</v>
      </c>
      <c r="D3" s="2">
        <v>4500</v>
      </c>
      <c r="E3" s="2">
        <v>7000</v>
      </c>
      <c r="F3" s="2">
        <v>8000</v>
      </c>
      <c r="G3" s="2">
        <v>0</v>
      </c>
    </row>
    <row r="4" spans="1:7" x14ac:dyDescent="0.2">
      <c r="A4" s="2" t="s">
        <v>1</v>
      </c>
      <c r="B4" s="2">
        <f t="shared" ref="B4:B7" si="0">SUM(C4:G4)</f>
        <v>97550</v>
      </c>
      <c r="C4" s="2">
        <v>7700</v>
      </c>
      <c r="D4" s="2">
        <v>21500</v>
      </c>
      <c r="E4" s="2">
        <v>22500</v>
      </c>
      <c r="F4" s="2">
        <v>24750</v>
      </c>
      <c r="G4" s="2">
        <v>21100</v>
      </c>
    </row>
    <row r="5" spans="1:7" x14ac:dyDescent="0.2">
      <c r="A5" s="2" t="s">
        <v>2</v>
      </c>
      <c r="B5" s="2"/>
      <c r="C5" s="2">
        <v>70000</v>
      </c>
      <c r="D5" s="2">
        <v>13000</v>
      </c>
      <c r="E5" s="2">
        <v>7125</v>
      </c>
      <c r="F5" s="2">
        <v>10000</v>
      </c>
      <c r="G5" s="2">
        <v>165950</v>
      </c>
    </row>
    <row r="6" spans="1:7" x14ac:dyDescent="0.2">
      <c r="A6" s="2" t="s">
        <v>3</v>
      </c>
      <c r="B6" s="2"/>
      <c r="C6" s="2">
        <f>ROUND(C4/C5,5)*100</f>
        <v>11</v>
      </c>
      <c r="D6" s="2"/>
      <c r="E6" s="2"/>
      <c r="F6" s="2"/>
      <c r="G6" s="3">
        <f>ROUND(G4/G5, 5)*100</f>
        <v>12.715000000000002</v>
      </c>
    </row>
    <row r="7" spans="1:7" x14ac:dyDescent="0.2">
      <c r="A7" s="2" t="s">
        <v>12</v>
      </c>
      <c r="B7" s="2"/>
      <c r="C7" s="2"/>
      <c r="D7" s="2">
        <f>SUM(D3:D4)/D5</f>
        <v>2</v>
      </c>
      <c r="E7" s="2">
        <f t="shared" ref="E7:F7" si="1">SUM(E3:E4)/E5</f>
        <v>4.1403508771929829</v>
      </c>
      <c r="F7" s="2">
        <f t="shared" si="1"/>
        <v>3.2749999999999999</v>
      </c>
      <c r="G7" s="2"/>
    </row>
    <row r="11" spans="1:7" ht="17" x14ac:dyDescent="0.2">
      <c r="A11" s="4" t="s">
        <v>13</v>
      </c>
      <c r="B11" s="5">
        <f>SUM(B12:B13)</f>
        <v>26.64</v>
      </c>
    </row>
    <row r="12" spans="1:7" ht="34" x14ac:dyDescent="0.2">
      <c r="A12" s="4" t="s">
        <v>14</v>
      </c>
      <c r="B12">
        <v>24</v>
      </c>
    </row>
    <row r="13" spans="1:7" ht="34" x14ac:dyDescent="0.2">
      <c r="A13" s="4" t="s">
        <v>15</v>
      </c>
      <c r="B13">
        <f>B12*0.11</f>
        <v>2.64</v>
      </c>
    </row>
    <row r="14" spans="1:7" ht="17" x14ac:dyDescent="0.2">
      <c r="A14" s="4" t="s">
        <v>16</v>
      </c>
      <c r="B14">
        <f>SUM(B15:B16)</f>
        <v>2.5499999999999998</v>
      </c>
    </row>
    <row r="15" spans="1:7" ht="68" x14ac:dyDescent="0.2">
      <c r="A15" s="4" t="s">
        <v>17</v>
      </c>
      <c r="B15">
        <f>SUM(C15:E15)</f>
        <v>0</v>
      </c>
    </row>
    <row r="16" spans="1:7" ht="34" x14ac:dyDescent="0.2">
      <c r="A16" s="4" t="s">
        <v>18</v>
      </c>
      <c r="B16">
        <v>2.5499999999999998</v>
      </c>
    </row>
    <row r="17" spans="1:7" ht="34" x14ac:dyDescent="0.2">
      <c r="A17" s="4" t="s">
        <v>19</v>
      </c>
      <c r="B17">
        <v>165950</v>
      </c>
      <c r="F17" t="s">
        <v>31</v>
      </c>
      <c r="G17">
        <v>100.91</v>
      </c>
    </row>
    <row r="18" spans="1:7" ht="68" x14ac:dyDescent="0.2">
      <c r="A18" s="4" t="s">
        <v>20</v>
      </c>
      <c r="B18">
        <v>21108</v>
      </c>
      <c r="F18" s="6">
        <f>(E19-G17)/G17</f>
        <v>5.7786845604994579E-2</v>
      </c>
      <c r="G18">
        <f>E19-G17</f>
        <v>5.8312705900000026</v>
      </c>
    </row>
    <row r="19" spans="1:7" ht="34" x14ac:dyDescent="0.2">
      <c r="A19" s="4" t="s">
        <v>21</v>
      </c>
      <c r="B19">
        <v>3</v>
      </c>
      <c r="E19">
        <f>E20*0.97</f>
        <v>106.74127059</v>
      </c>
    </row>
    <row r="20" spans="1:7" ht="34" x14ac:dyDescent="0.2">
      <c r="A20" s="4" t="s">
        <v>22</v>
      </c>
      <c r="E20">
        <f>E21*0.95</f>
        <v>110.042547</v>
      </c>
    </row>
    <row r="21" spans="1:7" ht="17" x14ac:dyDescent="0.2">
      <c r="A21" s="4" t="s">
        <v>23</v>
      </c>
      <c r="E21">
        <f>139*(1-0.16666)</f>
        <v>115.83426</v>
      </c>
    </row>
    <row r="22" spans="1:7" ht="34" x14ac:dyDescent="0.2">
      <c r="A22" s="4" t="s">
        <v>24</v>
      </c>
    </row>
    <row r="23" spans="1:7" ht="17" x14ac:dyDescent="0.2">
      <c r="A23" s="4" t="s">
        <v>25</v>
      </c>
    </row>
    <row r="24" spans="1:7" ht="17" x14ac:dyDescent="0.2">
      <c r="A24" s="4" t="s">
        <v>26</v>
      </c>
    </row>
    <row r="25" spans="1:7" ht="17" x14ac:dyDescent="0.2">
      <c r="A25" s="4" t="s">
        <v>27</v>
      </c>
    </row>
    <row r="26" spans="1:7" ht="51" x14ac:dyDescent="0.2">
      <c r="A26" s="4" t="s">
        <v>28</v>
      </c>
    </row>
    <row r="27" spans="1:7" ht="34" x14ac:dyDescent="0.2">
      <c r="A27" s="4" t="s">
        <v>29</v>
      </c>
    </row>
    <row r="28" spans="1:7" ht="68" x14ac:dyDescent="0.2">
      <c r="A28" s="4" t="s">
        <v>30</v>
      </c>
    </row>
  </sheetData>
  <mergeCells count="3">
    <mergeCell ref="A1:A2"/>
    <mergeCell ref="B1:B2"/>
    <mergeCell ref="C1:G1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Hofer Andreas</dc:creator>
  <cp:lastModifiedBy>Hofer Andreas</cp:lastModifiedBy>
  <dcterms:created xsi:type="dcterms:W3CDTF">2025-11-03T09:16:04Z</dcterms:created>
  <dcterms:modified xsi:type="dcterms:W3CDTF">2025-11-03T10:10:25Z</dcterms:modified>
</cp:coreProperties>
</file>