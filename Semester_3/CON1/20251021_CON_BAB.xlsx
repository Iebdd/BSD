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2E319C1F-0297-49D2-BB55-AC405F35DFE2}" xr6:coauthVersionLast="47" xr6:coauthVersionMax="47" xr10:uidLastSave="{00000000-0000-0000-0000-000000000000}"/>
  <bookViews>
    <workbookView xWindow="-120" yWindow="-120" windowWidth="38640" windowHeight="21120" xr2:uid="{FA79CB3C-2C44-4F51-BAEA-A05DAF29E0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C16" i="1"/>
  <c r="F17" i="1"/>
  <c r="F21" i="1" s="1"/>
  <c r="E17" i="1"/>
  <c r="E21" i="1" s="1"/>
  <c r="D17" i="1"/>
  <c r="D20" i="1" s="1"/>
  <c r="H15" i="1"/>
  <c r="G15" i="1"/>
  <c r="F15" i="1"/>
  <c r="E15" i="1"/>
  <c r="D15" i="1"/>
  <c r="C14" i="1"/>
  <c r="H13" i="1"/>
  <c r="G13" i="1"/>
  <c r="F13" i="1"/>
  <c r="E13" i="1"/>
  <c r="D13" i="1"/>
  <c r="H12" i="1"/>
  <c r="H17" i="1" s="1"/>
  <c r="G12" i="1"/>
  <c r="G17" i="1" s="1"/>
  <c r="F12" i="1"/>
  <c r="E12" i="1"/>
  <c r="D12" i="1"/>
  <c r="C12" i="1" s="1"/>
  <c r="C11" i="1"/>
  <c r="H10" i="1"/>
  <c r="G10" i="1"/>
  <c r="F10" i="1"/>
  <c r="E10" i="1"/>
  <c r="D10" i="1"/>
  <c r="C10" i="1"/>
  <c r="C9" i="1"/>
  <c r="C8" i="1"/>
  <c r="C7" i="1"/>
  <c r="H5" i="1"/>
  <c r="G5" i="1"/>
  <c r="F5" i="1"/>
  <c r="E5" i="1"/>
  <c r="D5" i="1"/>
  <c r="C4" i="1"/>
  <c r="C3" i="1"/>
  <c r="C5" i="1" s="1"/>
  <c r="H20" i="1" l="1"/>
  <c r="G20" i="1"/>
  <c r="C17" i="1"/>
</calcChain>
</file>

<file path=xl/sharedStrings.xml><?xml version="1.0" encoding="utf-8"?>
<sst xmlns="http://schemas.openxmlformats.org/spreadsheetml/2006/main" count="29" uniqueCount="28">
  <si>
    <t>Kostenstellen</t>
  </si>
  <si>
    <t>M</t>
  </si>
  <si>
    <t>F1</t>
  </si>
  <si>
    <t>F2</t>
  </si>
  <si>
    <t>F3</t>
  </si>
  <si>
    <t>V&amp;V</t>
  </si>
  <si>
    <t>EK</t>
  </si>
  <si>
    <t>Material</t>
  </si>
  <si>
    <t>Fertigungslöhne</t>
  </si>
  <si>
    <t>SUMME EK</t>
  </si>
  <si>
    <t>Hilfsmaterial</t>
  </si>
  <si>
    <t>Betriebsstoffe</t>
  </si>
  <si>
    <t>Hilfslöhne</t>
  </si>
  <si>
    <t>LNK 95,4%</t>
  </si>
  <si>
    <t>Gehälter</t>
  </si>
  <si>
    <t>GNK 61,3%</t>
  </si>
  <si>
    <t>Versicherung</t>
  </si>
  <si>
    <t>Sonstige</t>
  </si>
  <si>
    <t>Zinsen</t>
  </si>
  <si>
    <t>AFA</t>
  </si>
  <si>
    <t>SUMME GK</t>
  </si>
  <si>
    <t>BASIS</t>
  </si>
  <si>
    <t>MEK</t>
  </si>
  <si>
    <t>Fh</t>
  </si>
  <si>
    <t>FEK</t>
  </si>
  <si>
    <t>HSTK</t>
  </si>
  <si>
    <t>Zuschlagssatz</t>
  </si>
  <si>
    <t>Verrechnungssatz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</si>
</sst>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 applyAlignment="1">
      <alignment horizontal="center"/>
    </xf>
    <xf numFmtId="0" fontId="0" fillId="0" borderId="2" xfId="0" applyBorder="1"/>
    <xf numFmtId="164" fontId="3" fillId="0" borderId="2" xfId="1" applyNumberFormat="1" applyFont="1" applyBorder="1"/>
    <xf numFmtId="0" fontId="2" fillId="0" borderId="2" xfId="0" applyFont="1" applyBorder="1"/>
    <xf numFmtId="1" fontId="0" fillId="0" borderId="2" xfId="0" applyNumberFormat="1" applyBorder="1"/>
    <xf numFmtId="164" fontId="0" fillId="0" borderId="2" xfId="0" applyNumberFormat="1" applyBorder="1"/>
    <xf numFmtId="10" fontId="0" fillId="0" borderId="2" xfId="2" applyNumberFormat="1" applyFont="1" applyBorder="1"/>
    <xf numFmtId="43" fontId="0" fillId="0" borderId="2" xfId="0" applyNumberFormat="1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77A6-5418-452C-BDA3-394DB070E792}">
  <dimension ref="A1:H21"/>
  <sheetViews>
    <sheetView tabSelected="1" zoomScale="205" zoomScaleNormal="205" workbookViewId="0">
      <selection activeCell="C11" sqref="C11"/>
    </sheetView>
  </sheetViews>
  <sheetFormatPr defaultColWidth="11.42578125" defaultRowHeight="15" x14ac:dyDescent="0.25"/>
  <cols>
    <col min="2" max="2" width="16.85546875" bestFit="1" customWidth="1"/>
  </cols>
  <sheetData>
    <row r="1" spans="1:8" x14ac:dyDescent="0.25">
      <c r="D1" s="9" t="s">
        <v>0</v>
      </c>
      <c r="E1" s="9"/>
      <c r="F1" s="9"/>
      <c r="G1" s="9"/>
      <c r="H1" s="9"/>
    </row>
    <row r="2" spans="1:8" x14ac:dyDescent="0.25"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</row>
    <row r="3" spans="1:8" x14ac:dyDescent="0.25">
      <c r="A3" s="10" t="s">
        <v>6</v>
      </c>
      <c r="B3" s="2" t="s">
        <v>7</v>
      </c>
      <c r="C3" s="2">
        <f>SUM(D3:H3)</f>
        <v>82000</v>
      </c>
      <c r="D3" s="2">
        <v>82000</v>
      </c>
      <c r="E3" s="2">
        <v>0</v>
      </c>
      <c r="F3" s="2">
        <v>0</v>
      </c>
      <c r="G3" s="2">
        <v>0</v>
      </c>
      <c r="H3" s="2">
        <v>0</v>
      </c>
    </row>
    <row r="4" spans="1:8" x14ac:dyDescent="0.25">
      <c r="A4" s="10"/>
      <c r="B4" s="2" t="s">
        <v>8</v>
      </c>
      <c r="C4" s="2">
        <f>SUM(D4:H4)</f>
        <v>60000</v>
      </c>
      <c r="D4" s="2">
        <v>0</v>
      </c>
      <c r="E4" s="2">
        <v>32000</v>
      </c>
      <c r="F4" s="2">
        <v>18000</v>
      </c>
      <c r="G4" s="2">
        <v>10000</v>
      </c>
      <c r="H4" s="2">
        <v>0</v>
      </c>
    </row>
    <row r="5" spans="1:8" x14ac:dyDescent="0.25">
      <c r="A5" s="10"/>
      <c r="B5" s="2" t="s">
        <v>9</v>
      </c>
      <c r="C5" s="3">
        <f>SUM(C3:C4)</f>
        <v>142000</v>
      </c>
      <c r="D5" s="3">
        <f t="shared" ref="D5:H5" si="0">SUM(D3:D4)</f>
        <v>82000</v>
      </c>
      <c r="E5" s="3">
        <f t="shared" si="0"/>
        <v>32000</v>
      </c>
      <c r="F5" s="3">
        <f t="shared" si="0"/>
        <v>18000</v>
      </c>
      <c r="G5" s="3">
        <f t="shared" si="0"/>
        <v>10000</v>
      </c>
      <c r="H5" s="3">
        <f t="shared" si="0"/>
        <v>0</v>
      </c>
    </row>
    <row r="6" spans="1:8" x14ac:dyDescent="0.25">
      <c r="B6" s="2"/>
      <c r="C6" s="2"/>
      <c r="D6" s="2"/>
      <c r="E6" s="2"/>
      <c r="F6" s="2"/>
      <c r="G6" s="2"/>
      <c r="H6" s="2"/>
    </row>
    <row r="7" spans="1:8" x14ac:dyDescent="0.25">
      <c r="B7" s="2" t="s">
        <v>10</v>
      </c>
      <c r="C7" s="2">
        <f>SUM(D7:H7)</f>
        <v>19200</v>
      </c>
      <c r="D7" s="2">
        <v>0</v>
      </c>
      <c r="E7" s="2">
        <v>9200</v>
      </c>
      <c r="F7" s="2">
        <v>5600</v>
      </c>
      <c r="G7" s="2">
        <v>4400</v>
      </c>
      <c r="H7" s="2">
        <v>0</v>
      </c>
    </row>
    <row r="8" spans="1:8" x14ac:dyDescent="0.25">
      <c r="B8" s="2" t="s">
        <v>11</v>
      </c>
      <c r="C8" s="2">
        <f t="shared" ref="C8:C17" si="1">SUM(D8:H8)</f>
        <v>8400</v>
      </c>
      <c r="D8" s="2">
        <v>1300</v>
      </c>
      <c r="E8" s="2">
        <v>1000</v>
      </c>
      <c r="F8" s="2">
        <v>600</v>
      </c>
      <c r="G8" s="2">
        <v>800</v>
      </c>
      <c r="H8" s="2">
        <v>4700</v>
      </c>
    </row>
    <row r="9" spans="1:8" x14ac:dyDescent="0.25">
      <c r="B9" s="4" t="s">
        <v>12</v>
      </c>
      <c r="C9" s="2">
        <f t="shared" si="1"/>
        <v>26000</v>
      </c>
      <c r="D9" s="2">
        <v>2000</v>
      </c>
      <c r="E9" s="2">
        <v>12000</v>
      </c>
      <c r="F9" s="2">
        <v>7000</v>
      </c>
      <c r="G9" s="2">
        <v>4000</v>
      </c>
      <c r="H9" s="2">
        <v>1000</v>
      </c>
    </row>
    <row r="10" spans="1:8" x14ac:dyDescent="0.25">
      <c r="B10" s="4" t="s">
        <v>13</v>
      </c>
      <c r="C10" s="2">
        <f t="shared" si="1"/>
        <v>82044</v>
      </c>
      <c r="D10" s="2">
        <f>0.954*(D9+D4)</f>
        <v>1908</v>
      </c>
      <c r="E10" s="2">
        <f t="shared" ref="E10:H10" si="2">0.954*(E9+E4)</f>
        <v>41976</v>
      </c>
      <c r="F10" s="2">
        <f t="shared" si="2"/>
        <v>23850</v>
      </c>
      <c r="G10" s="2">
        <f t="shared" si="2"/>
        <v>13356</v>
      </c>
      <c r="H10" s="2">
        <f t="shared" si="2"/>
        <v>954</v>
      </c>
    </row>
    <row r="11" spans="1:8" x14ac:dyDescent="0.25">
      <c r="B11" s="4" t="s">
        <v>14</v>
      </c>
      <c r="C11" s="2">
        <f t="shared" si="1"/>
        <v>40000</v>
      </c>
      <c r="D11" s="2">
        <v>1000</v>
      </c>
      <c r="E11" s="2">
        <v>3000</v>
      </c>
      <c r="F11" s="2">
        <v>2000</v>
      </c>
      <c r="G11" s="2">
        <v>3000</v>
      </c>
      <c r="H11" s="2">
        <v>31000</v>
      </c>
    </row>
    <row r="12" spans="1:8" x14ac:dyDescent="0.25">
      <c r="B12" s="4" t="s">
        <v>15</v>
      </c>
      <c r="C12" s="2">
        <f t="shared" si="1"/>
        <v>24520</v>
      </c>
      <c r="D12" s="2">
        <f>0.613*D11</f>
        <v>613</v>
      </c>
      <c r="E12" s="2">
        <f t="shared" ref="E12:H12" si="3">0.613*E11</f>
        <v>1839</v>
      </c>
      <c r="F12" s="2">
        <f t="shared" si="3"/>
        <v>1226</v>
      </c>
      <c r="G12" s="2">
        <f t="shared" si="3"/>
        <v>1839</v>
      </c>
      <c r="H12" s="2">
        <f t="shared" si="3"/>
        <v>19003</v>
      </c>
    </row>
    <row r="13" spans="1:8" x14ac:dyDescent="0.25">
      <c r="B13" s="4" t="s">
        <v>16</v>
      </c>
      <c r="C13" s="2">
        <v>1500</v>
      </c>
      <c r="D13" s="2">
        <f>$C$13/10*1.5</f>
        <v>225</v>
      </c>
      <c r="E13" s="2">
        <f>$C$13/10*3</f>
        <v>450</v>
      </c>
      <c r="F13" s="2">
        <f>$C$13/10*2.5</f>
        <v>375</v>
      </c>
      <c r="G13" s="2">
        <f t="shared" ref="G13:H13" si="4">$C$13/10*1.5</f>
        <v>225</v>
      </c>
      <c r="H13" s="2">
        <f t="shared" si="4"/>
        <v>225</v>
      </c>
    </row>
    <row r="14" spans="1:8" x14ac:dyDescent="0.25">
      <c r="B14" s="2" t="s">
        <v>17</v>
      </c>
      <c r="C14" s="2">
        <f t="shared" si="1"/>
        <v>48000</v>
      </c>
      <c r="D14" s="2">
        <v>2000</v>
      </c>
      <c r="E14" s="2">
        <v>15000</v>
      </c>
      <c r="F14" s="2">
        <v>11000</v>
      </c>
      <c r="G14" s="2">
        <v>8000</v>
      </c>
      <c r="H14" s="2">
        <v>12000</v>
      </c>
    </row>
    <row r="15" spans="1:8" x14ac:dyDescent="0.25">
      <c r="B15" s="2" t="s">
        <v>18</v>
      </c>
      <c r="C15" s="2">
        <v>10080</v>
      </c>
      <c r="D15" s="5">
        <f>$C$15/1512*92</f>
        <v>613.33333333333337</v>
      </c>
      <c r="E15" s="5">
        <f>$C$15/1512*497</f>
        <v>3313.3333333333335</v>
      </c>
      <c r="F15" s="5">
        <f>$C$15/1512*413</f>
        <v>2753.3333333333335</v>
      </c>
      <c r="G15" s="5">
        <f>$C$15/1512*370</f>
        <v>2466.666666666667</v>
      </c>
      <c r="H15" s="5">
        <f>$C$15/1512*140</f>
        <v>933.33333333333337</v>
      </c>
    </row>
    <row r="16" spans="1:8" x14ac:dyDescent="0.25">
      <c r="B16" s="4" t="s">
        <v>19</v>
      </c>
      <c r="C16" s="5">
        <f>SUM(D16:H16)</f>
        <v>26771</v>
      </c>
      <c r="D16" s="11">
        <v>928</v>
      </c>
      <c r="E16" s="5">
        <v>7856</v>
      </c>
      <c r="F16" s="5">
        <v>7956</v>
      </c>
      <c r="G16" s="5">
        <v>6488</v>
      </c>
      <c r="H16" s="5">
        <v>3543</v>
      </c>
    </row>
    <row r="17" spans="2:8" x14ac:dyDescent="0.25">
      <c r="B17" s="2" t="s">
        <v>20</v>
      </c>
      <c r="C17" s="2">
        <f t="shared" si="1"/>
        <v>286515</v>
      </c>
      <c r="D17" s="3">
        <f t="shared" ref="D17:H17" si="5">SUM(D7:D16)</f>
        <v>10587.333333333334</v>
      </c>
      <c r="E17" s="3">
        <f t="shared" si="5"/>
        <v>95634.333333333328</v>
      </c>
      <c r="F17" s="3">
        <f t="shared" si="5"/>
        <v>62360.333333333336</v>
      </c>
      <c r="G17" s="3">
        <f t="shared" si="5"/>
        <v>44574.666666666664</v>
      </c>
      <c r="H17" s="3">
        <f t="shared" si="5"/>
        <v>73358.333333333328</v>
      </c>
    </row>
    <row r="18" spans="2:8" x14ac:dyDescent="0.25">
      <c r="B18" s="4" t="s">
        <v>21</v>
      </c>
      <c r="C18" s="2"/>
      <c r="D18" s="2" t="s">
        <v>22</v>
      </c>
      <c r="E18" s="2" t="s">
        <v>23</v>
      </c>
      <c r="F18" s="2" t="s">
        <v>23</v>
      </c>
      <c r="G18" s="2" t="s">
        <v>24</v>
      </c>
      <c r="H18" s="2" t="s">
        <v>25</v>
      </c>
    </row>
    <row r="19" spans="2:8" x14ac:dyDescent="0.25">
      <c r="B19" s="2"/>
      <c r="C19" s="2"/>
      <c r="D19" s="6">
        <v>82000</v>
      </c>
      <c r="E19" s="2">
        <v>2160</v>
      </c>
      <c r="F19" s="2">
        <v>1410</v>
      </c>
      <c r="G19" s="6">
        <v>10000</v>
      </c>
      <c r="H19" s="6">
        <f>SUM(D19:G19)</f>
        <v>95570</v>
      </c>
    </row>
    <row r="20" spans="2:8" x14ac:dyDescent="0.25">
      <c r="B20" s="2" t="s">
        <v>26</v>
      </c>
      <c r="C20" s="2"/>
      <c r="D20" s="7">
        <f>D17/D19</f>
        <v>0.12911382113821138</v>
      </c>
      <c r="E20" s="2"/>
      <c r="F20" s="2"/>
      <c r="G20" s="7">
        <f>G17/G19</f>
        <v>4.457466666666666</v>
      </c>
      <c r="H20" s="7">
        <f>H17/H19</f>
        <v>0.76758745770988102</v>
      </c>
    </row>
    <row r="21" spans="2:8" x14ac:dyDescent="0.25">
      <c r="B21" s="2" t="s">
        <v>27</v>
      </c>
      <c r="C21" s="2"/>
      <c r="D21" s="2"/>
      <c r="E21" s="8">
        <f>E17/E19</f>
        <v>44.275154320987653</v>
      </c>
      <c r="F21" s="8">
        <f>F17/F19</f>
        <v>44.227186761229319</v>
      </c>
      <c r="G21" s="2"/>
      <c r="H21" s="2"/>
    </row>
  </sheetData>
  <mergeCells count="2">
    <mergeCell ref="D1:H1"/>
    <mergeCell ref="A3:A5"/>
  </mergeCells>
  <pageMargins left="0.7" right="0.7" top="0.78740157499999996" bottom="0.78740157499999996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Koch Volker</dc:creator>
  <cp:lastModifiedBy>Andreas Hofer</cp:lastModifiedBy>
  <dcterms:created xsi:type="dcterms:W3CDTF">2025-10-21T08:55:22Z</dcterms:created>
  <dcterms:modified xsi:type="dcterms:W3CDTF">2025-10-21T09:15:12Z</dcterms:modified>
</cp:coreProperties>
</file>